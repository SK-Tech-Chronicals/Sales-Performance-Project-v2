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onam\OneDrive\Desktop\dashboards\"/>
    </mc:Choice>
  </mc:AlternateContent>
  <xr:revisionPtr revIDLastSave="0" documentId="13_ncr:1_{1A195F98-C31C-46C4-AA82-9D07723B4CE5}" xr6:coauthVersionLast="47" xr6:coauthVersionMax="47" xr10:uidLastSave="{00000000-0000-0000-0000-000000000000}"/>
  <bookViews>
    <workbookView xWindow="-108" yWindow="-108" windowWidth="23256" windowHeight="12456" activeTab="2" xr2:uid="{0C00DBF3-DA2F-43DE-B3EE-5C1154A57D6F}"/>
  </bookViews>
  <sheets>
    <sheet name="Dashboard" sheetId="8" r:id="rId1"/>
    <sheet name="Raw Dta" sheetId="4" r:id="rId2"/>
    <sheet name="Formatted Data" sheetId="2" r:id="rId3"/>
    <sheet name="Backend" sheetId="5" r:id="rId4"/>
  </sheets>
  <definedNames>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8" l="1"/>
  <c r="B6" i="8"/>
  <c r="A6" i="8"/>
</calcChain>
</file>

<file path=xl/sharedStrings.xml><?xml version="1.0" encoding="utf-8"?>
<sst xmlns="http://schemas.openxmlformats.org/spreadsheetml/2006/main" count="131" uniqueCount="22">
  <si>
    <t>Date</t>
  </si>
  <si>
    <t>Product</t>
  </si>
  <si>
    <t>Region</t>
  </si>
  <si>
    <t>Sales</t>
  </si>
  <si>
    <t>Laptop</t>
  </si>
  <si>
    <t>North</t>
  </si>
  <si>
    <t>Mobile</t>
  </si>
  <si>
    <t>South</t>
  </si>
  <si>
    <t>Tablet</t>
  </si>
  <si>
    <t>East</t>
  </si>
  <si>
    <t>West</t>
  </si>
  <si>
    <t>abc</t>
  </si>
  <si>
    <t>Na</t>
  </si>
  <si>
    <t>error</t>
  </si>
  <si>
    <t>Row Labels</t>
  </si>
  <si>
    <t>Grand Total</t>
  </si>
  <si>
    <t>Count of Sales</t>
  </si>
  <si>
    <t>Sum of Sales</t>
  </si>
  <si>
    <t>TOTAL SALES</t>
  </si>
  <si>
    <t>AVERAGE SALES</t>
  </si>
  <si>
    <t>MAX SALES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</si>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</sst>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b/>
      <sz val="36"/>
      <color theme="1"/>
      <name val="Calibri"/>
      <family val="2"/>
      <scheme val="minor"/>
    </font>
    <font>
      <b/>
      <sz val="14"/>
      <color theme="8" tint="-0.249977111117893"/>
      <name val="Calibri"/>
      <family val="2"/>
      <scheme val="minor"/>
    </font>
  </fonts>
  <fills count="2">
    <fill>
      <patternFill patternType="none"/>
    </fill>
    <fill>
      <patternFill patternType="gray125"/>
    </fill>
  </fills>
  <borders count="8">
    <border>
      <left/>
      <right/>
      <top/>
      <bottom/>
      <diagonal/>
    </border>
    <border>
      <left/>
      <right/>
      <top style="thick">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2" fillId="0" borderId="0" xfId="0" applyFont="1" applyAlignment="1">
      <alignment horizontal="center"/>
    </xf>
    <xf numFmtId="0" fontId="0" fillId="0" borderId="0" xfId="0" applyNumberFormat="1"/>
    <xf numFmtId="0" fontId="0" fillId="0" borderId="1" xfId="0" applyBorder="1"/>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Sales Dashboard.xlsx]Backend!PivotTable1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Backend!$B$3</c:f>
              <c:strCache>
                <c:ptCount val="1"/>
                <c:pt idx="0">
                  <c:v>Total</c:v>
                </c:pt>
              </c:strCache>
            </c:strRef>
          </c:tx>
          <c:spPr>
            <a:solidFill>
              <a:schemeClr val="accent1"/>
            </a:solidFill>
            <a:ln>
              <a:noFill/>
            </a:ln>
            <a:effectLst/>
          </c:spPr>
          <c:cat>
            <c:strRef>
              <c:f>Backend!$A$4:$A$7</c:f>
              <c:strCache>
                <c:ptCount val="3"/>
                <c:pt idx="0">
                  <c:v>Laptop</c:v>
                </c:pt>
                <c:pt idx="1">
                  <c:v>Mobile</c:v>
                </c:pt>
                <c:pt idx="2">
                  <c:v>Tablet</c:v>
                </c:pt>
              </c:strCache>
            </c:strRef>
          </c:cat>
          <c:val>
            <c:numRef>
              <c:f>Backend!$B$4:$B$7</c:f>
              <c:numCache>
                <c:formatCode>General</c:formatCode>
                <c:ptCount val="3"/>
                <c:pt idx="0">
                  <c:v>9</c:v>
                </c:pt>
                <c:pt idx="1">
                  <c:v>8</c:v>
                </c:pt>
                <c:pt idx="2">
                  <c:v>8</c:v>
                </c:pt>
              </c:numCache>
            </c:numRef>
          </c:val>
          <c:extLst>
            <c:ext xmlns:c16="http://schemas.microsoft.com/office/drawing/2014/chart" uri="{C3380CC4-5D6E-409C-BE32-E72D297353CC}">
              <c16:uniqueId val="{00000000-5F41-4F70-B07F-45FAB35F1FCF}"/>
            </c:ext>
          </c:extLst>
        </c:ser>
        <c:dLbls>
          <c:showLegendKey val="0"/>
          <c:showVal val="0"/>
          <c:showCatName val="0"/>
          <c:showSerName val="0"/>
          <c:showPercent val="0"/>
          <c:showBubbleSize val="0"/>
        </c:dLbls>
        <c:axId val="361282976"/>
        <c:axId val="361281056"/>
      </c:areaChart>
      <c:catAx>
        <c:axId val="36128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81056"/>
        <c:crosses val="autoZero"/>
        <c:auto val="1"/>
        <c:lblAlgn val="ctr"/>
        <c:lblOffset val="100"/>
        <c:noMultiLvlLbl val="0"/>
      </c:catAx>
      <c:valAx>
        <c:axId val="36128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82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Sales Dashboard.xlsx]Backend!PivotTable3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Backend!$B$9</c:f>
              <c:strCache>
                <c:ptCount val="1"/>
                <c:pt idx="0">
                  <c:v>Total</c:v>
                </c:pt>
              </c:strCache>
            </c:strRef>
          </c:tx>
          <c:spPr>
            <a:solidFill>
              <a:schemeClr val="accent1"/>
            </a:solidFill>
            <a:ln>
              <a:noFill/>
            </a:ln>
            <a:effectLst/>
          </c:spPr>
          <c:invertIfNegative val="0"/>
          <c:cat>
            <c:strRef>
              <c:f>Backend!$A$10:$A$14</c:f>
              <c:strCache>
                <c:ptCount val="4"/>
                <c:pt idx="0">
                  <c:v>East</c:v>
                </c:pt>
                <c:pt idx="1">
                  <c:v>North</c:v>
                </c:pt>
                <c:pt idx="2">
                  <c:v>South</c:v>
                </c:pt>
                <c:pt idx="3">
                  <c:v>West</c:v>
                </c:pt>
              </c:strCache>
            </c:strRef>
          </c:cat>
          <c:val>
            <c:numRef>
              <c:f>Backend!$B$10:$B$14</c:f>
              <c:numCache>
                <c:formatCode>General</c:formatCode>
                <c:ptCount val="4"/>
                <c:pt idx="0">
                  <c:v>97000</c:v>
                </c:pt>
                <c:pt idx="1">
                  <c:v>221000</c:v>
                </c:pt>
                <c:pt idx="2">
                  <c:v>217000</c:v>
                </c:pt>
                <c:pt idx="3">
                  <c:v>195000</c:v>
                </c:pt>
              </c:numCache>
            </c:numRef>
          </c:val>
          <c:extLst>
            <c:ext xmlns:c16="http://schemas.microsoft.com/office/drawing/2014/chart" uri="{C3380CC4-5D6E-409C-BE32-E72D297353CC}">
              <c16:uniqueId val="{00000000-F9A7-49C8-A565-77ED53571CD5}"/>
            </c:ext>
          </c:extLst>
        </c:ser>
        <c:dLbls>
          <c:showLegendKey val="0"/>
          <c:showVal val="0"/>
          <c:showCatName val="0"/>
          <c:showSerName val="0"/>
          <c:showPercent val="0"/>
          <c:showBubbleSize val="0"/>
        </c:dLbls>
        <c:gapWidth val="219"/>
        <c:axId val="756639648"/>
        <c:axId val="756639168"/>
      </c:barChart>
      <c:catAx>
        <c:axId val="75663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639168"/>
        <c:crosses val="autoZero"/>
        <c:auto val="1"/>
        <c:lblAlgn val="ctr"/>
        <c:lblOffset val="100"/>
        <c:noMultiLvlLbl val="0"/>
      </c:catAx>
      <c:valAx>
        <c:axId val="75663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63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Sales Dashboard.xlsx]Backend!PivotTable4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Backend!$H$1</c:f>
              <c:strCache>
                <c:ptCount val="1"/>
                <c:pt idx="0">
                  <c:v>Total</c:v>
                </c:pt>
              </c:strCache>
            </c:strRef>
          </c:tx>
          <c:spPr>
            <a:ln w="28575" cap="rnd">
              <a:solidFill>
                <a:schemeClr val="accent1"/>
              </a:solidFill>
              <a:round/>
            </a:ln>
            <a:effectLst/>
          </c:spPr>
          <c:marker>
            <c:symbol val="none"/>
          </c:marker>
          <c:cat>
            <c:strRef>
              <c:f>Backend!$G$2:$G$27</c:f>
              <c:strCache>
                <c:ptCount val="25"/>
                <c:pt idx="0">
                  <c:v>01-04-2026</c:v>
                </c:pt>
                <c:pt idx="1">
                  <c:v>02-04-2026</c:v>
                </c:pt>
                <c:pt idx="2">
                  <c:v>03-04-2026</c:v>
                </c:pt>
                <c:pt idx="3">
                  <c:v>04-04-2026</c:v>
                </c:pt>
                <c:pt idx="4">
                  <c:v>05-04-2026</c:v>
                </c:pt>
                <c:pt idx="5">
                  <c:v>06-04-2026</c:v>
                </c:pt>
                <c:pt idx="6">
                  <c:v>07-04-2026</c:v>
                </c:pt>
                <c:pt idx="7">
                  <c:v>08-04-2026</c:v>
                </c:pt>
                <c:pt idx="8">
                  <c:v>09-04-2026</c:v>
                </c:pt>
                <c:pt idx="9">
                  <c:v>10-04-2026</c:v>
                </c:pt>
                <c:pt idx="10">
                  <c:v>11-04-2026</c:v>
                </c:pt>
                <c:pt idx="11">
                  <c:v>12-04-2026</c:v>
                </c:pt>
                <c:pt idx="12">
                  <c:v>13-04-2026</c:v>
                </c:pt>
                <c:pt idx="13">
                  <c:v>14-04-2026</c:v>
                </c:pt>
                <c:pt idx="14">
                  <c:v>15-04-2026</c:v>
                </c:pt>
                <c:pt idx="15">
                  <c:v>16-04-2026</c:v>
                </c:pt>
                <c:pt idx="16">
                  <c:v>17-04-2026</c:v>
                </c:pt>
                <c:pt idx="17">
                  <c:v>18-04-2026</c:v>
                </c:pt>
                <c:pt idx="18">
                  <c:v>19-04-2026</c:v>
                </c:pt>
                <c:pt idx="19">
                  <c:v>20-04-2026</c:v>
                </c:pt>
                <c:pt idx="20">
                  <c:v>21-04-2026</c:v>
                </c:pt>
                <c:pt idx="21">
                  <c:v>22-04-2026</c:v>
                </c:pt>
                <c:pt idx="22">
                  <c:v>23-04-2026</c:v>
                </c:pt>
                <c:pt idx="23">
                  <c:v>24-04-2026</c:v>
                </c:pt>
                <c:pt idx="24">
                  <c:v>25-04-2026</c:v>
                </c:pt>
              </c:strCache>
            </c:strRef>
          </c:cat>
          <c:val>
            <c:numRef>
              <c:f>Backend!$H$2:$H$27</c:f>
              <c:numCache>
                <c:formatCode>General</c:formatCode>
                <c:ptCount val="25"/>
                <c:pt idx="0">
                  <c:v>50000</c:v>
                </c:pt>
                <c:pt idx="1">
                  <c:v>30000</c:v>
                </c:pt>
                <c:pt idx="2">
                  <c:v>0</c:v>
                </c:pt>
                <c:pt idx="3">
                  <c:v>20000</c:v>
                </c:pt>
                <c:pt idx="4">
                  <c:v>30000</c:v>
                </c:pt>
                <c:pt idx="5">
                  <c:v>55000</c:v>
                </c:pt>
                <c:pt idx="6">
                  <c:v>0</c:v>
                </c:pt>
                <c:pt idx="7">
                  <c:v>35000</c:v>
                </c:pt>
                <c:pt idx="8">
                  <c:v>50000</c:v>
                </c:pt>
                <c:pt idx="9">
                  <c:v>25000</c:v>
                </c:pt>
                <c:pt idx="10">
                  <c:v>48000</c:v>
                </c:pt>
                <c:pt idx="11">
                  <c:v>0</c:v>
                </c:pt>
                <c:pt idx="12">
                  <c:v>21000</c:v>
                </c:pt>
                <c:pt idx="13">
                  <c:v>56000</c:v>
                </c:pt>
                <c:pt idx="14">
                  <c:v>37000</c:v>
                </c:pt>
                <c:pt idx="15">
                  <c:v>0</c:v>
                </c:pt>
                <c:pt idx="16">
                  <c:v>52000</c:v>
                </c:pt>
                <c:pt idx="17">
                  <c:v>33000</c:v>
                </c:pt>
                <c:pt idx="18">
                  <c:v>22000</c:v>
                </c:pt>
                <c:pt idx="19">
                  <c:v>51000</c:v>
                </c:pt>
                <c:pt idx="20">
                  <c:v>31000</c:v>
                </c:pt>
                <c:pt idx="21">
                  <c:v>26000</c:v>
                </c:pt>
                <c:pt idx="22">
                  <c:v>0</c:v>
                </c:pt>
                <c:pt idx="23">
                  <c:v>34000</c:v>
                </c:pt>
                <c:pt idx="24">
                  <c:v>24000</c:v>
                </c:pt>
              </c:numCache>
            </c:numRef>
          </c:val>
          <c:smooth val="0"/>
          <c:extLst>
            <c:ext xmlns:c16="http://schemas.microsoft.com/office/drawing/2014/chart" uri="{C3380CC4-5D6E-409C-BE32-E72D297353CC}">
              <c16:uniqueId val="{00000000-DCD0-43BA-81BB-A2779C3E0766}"/>
            </c:ext>
          </c:extLst>
        </c:ser>
        <c:dLbls>
          <c:showLegendKey val="0"/>
          <c:showVal val="0"/>
          <c:showCatName val="0"/>
          <c:showSerName val="0"/>
          <c:showPercent val="0"/>
          <c:showBubbleSize val="0"/>
        </c:dLbls>
        <c:smooth val="0"/>
        <c:axId val="278440304"/>
        <c:axId val="278441264"/>
      </c:lineChart>
      <c:catAx>
        <c:axId val="27844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441264"/>
        <c:crosses val="autoZero"/>
        <c:auto val="1"/>
        <c:lblAlgn val="ctr"/>
        <c:lblOffset val="100"/>
        <c:noMultiLvlLbl val="0"/>
      </c:catAx>
      <c:valAx>
        <c:axId val="27844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44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480060</xdr:colOff>
      <xdr:row>9</xdr:row>
      <xdr:rowOff>152400</xdr:rowOff>
    </xdr:from>
    <xdr:to>
      <xdr:col>4</xdr:col>
      <xdr:colOff>434340</xdr:colOff>
      <xdr:row>25</xdr:row>
      <xdr:rowOff>152400</xdr:rowOff>
    </xdr:to>
    <xdr:graphicFrame macro="">
      <xdr:nvGraphicFramePr>
        <xdr:cNvPr id="2" name="Chart 1">
          <a:extLst>
            <a:ext uri="{FF2B5EF4-FFF2-40B4-BE49-F238E27FC236}">
              <a16:creationId xmlns:a16="http://schemas.microsoft.com/office/drawing/2014/main" id="{316B8BF6-16AC-42EA-846A-50A3C7566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327660</xdr:colOff>
      <xdr:row>10</xdr:row>
      <xdr:rowOff>15240</xdr:rowOff>
    </xdr:from>
    <xdr:to>
      <xdr:col>11</xdr:col>
      <xdr:colOff>594360</xdr:colOff>
      <xdr:row>25</xdr:row>
      <xdr:rowOff>152400</xdr:rowOff>
    </xdr:to>
    <xdr:graphicFrame macro="">
      <xdr:nvGraphicFramePr>
        <xdr:cNvPr id="3" name="Chart 2">
          <a:extLst>
            <a:ext uri="{FF2B5EF4-FFF2-40B4-BE49-F238E27FC236}">
              <a16:creationId xmlns:a16="http://schemas.microsoft.com/office/drawing/2014/main" id="{7D2DA46A-CE31-4B1F-A358-766D1C87A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312420</xdr:colOff>
      <xdr:row>10</xdr:row>
      <xdr:rowOff>7620</xdr:rowOff>
    </xdr:from>
    <xdr:to>
      <xdr:col>19</xdr:col>
      <xdr:colOff>510540</xdr:colOff>
      <xdr:row>25</xdr:row>
      <xdr:rowOff>144780</xdr:rowOff>
    </xdr:to>
    <xdr:graphicFrame macro="">
      <xdr:nvGraphicFramePr>
        <xdr:cNvPr id="4" name="Chart 3">
          <a:extLst>
            <a:ext uri="{FF2B5EF4-FFF2-40B4-BE49-F238E27FC236}">
              <a16:creationId xmlns:a16="http://schemas.microsoft.com/office/drawing/2014/main" id="{7FBC3124-88D8-44A6-91FC-E2648AA46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167640</xdr:colOff>
      <xdr:row>3</xdr:row>
      <xdr:rowOff>7621</xdr:rowOff>
    </xdr:from>
    <xdr:to>
      <xdr:col>10</xdr:col>
      <xdr:colOff>167640</xdr:colOff>
      <xdr:row>9</xdr:row>
      <xdr:rowOff>45721</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F2087C79-D0CD-3843-3019-45283E69781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791200" y="56388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320040</xdr:colOff>
      <xdr:row>3</xdr:row>
      <xdr:rowOff>45719</xdr:rowOff>
    </xdr:from>
    <xdr:to>
      <xdr:col>16</xdr:col>
      <xdr:colOff>320040</xdr:colOff>
      <xdr:row>9</xdr:row>
      <xdr:rowOff>22860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1591FFE-BF12-83F2-B9B6-0C4359691B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01200" y="601979"/>
              <a:ext cx="1828800" cy="1188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m Kothiyal" refreshedDate="46113.736867013889" createdVersion="8" refreshedVersion="8" minRefreshableVersion="3" recordCount="25" xr:uid="{90BF6BF8-0427-4BCE-8886-EB3476380BA8}">
  <cacheSource type="worksheet">
    <worksheetSource name="Table2"/>
  </cacheSource>
  <cacheFields count="4">
    <cacheField name="Date" numFmtId="14">
      <sharedItems containsSemiMixedTypes="0" containsNonDate="0" containsDate="1" containsString="0" minDate="2026-04-01T00:00:00" maxDate="2026-04-26T00:00:00" count="25">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sharedItems>
    </cacheField>
    <cacheField name="Product" numFmtId="0">
      <sharedItems count="3">
        <s v="Laptop"/>
        <s v="Mobile"/>
        <s v="Tablet"/>
      </sharedItems>
    </cacheField>
    <cacheField name="Region" numFmtId="0">
      <sharedItems count="4">
        <s v="North"/>
        <s v="South"/>
        <s v="East"/>
        <s v="West"/>
      </sharedItems>
    </cacheField>
    <cacheField name="Sales" numFmtId="0">
      <sharedItems containsMixedTypes="1" containsNumber="1" containsInteger="1" minValue="0" maxValue="56000" count="20">
        <n v="50000"/>
        <n v="30000"/>
        <n v="0"/>
        <n v="20000"/>
        <n v="55000"/>
        <n v="35000"/>
        <n v="25000"/>
        <n v="48000"/>
        <s v="Na"/>
        <n v="21000"/>
        <n v="56000"/>
        <n v="37000"/>
        <n v="52000"/>
        <n v="33000"/>
        <n v="22000"/>
        <n v="51000"/>
        <n v="31000"/>
        <n v="26000"/>
        <n v="34000"/>
        <n v="24000"/>
      </sharedItems>
    </cacheField>
  </cacheFields>
  <extLst>
    <ext xmlns:x14="http://schemas.microsoft.com/office/spreadsheetml/2009/9/main" uri="{725AE2AE-9491-48be-B2B4-4EB974FC3084}">
      <x14:pivotCacheDefinition pivotCacheId="2143243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r>
  <r>
    <x v="1"/>
    <x v="1"/>
    <x v="1"/>
    <x v="1"/>
  </r>
  <r>
    <x v="2"/>
    <x v="0"/>
    <x v="0"/>
    <x v="2"/>
  </r>
  <r>
    <x v="3"/>
    <x v="2"/>
    <x v="2"/>
    <x v="3"/>
  </r>
  <r>
    <x v="4"/>
    <x v="1"/>
    <x v="1"/>
    <x v="1"/>
  </r>
  <r>
    <x v="5"/>
    <x v="0"/>
    <x v="3"/>
    <x v="4"/>
  </r>
  <r>
    <x v="6"/>
    <x v="2"/>
    <x v="2"/>
    <x v="2"/>
  </r>
  <r>
    <x v="7"/>
    <x v="1"/>
    <x v="0"/>
    <x v="5"/>
  </r>
  <r>
    <x v="8"/>
    <x v="0"/>
    <x v="1"/>
    <x v="0"/>
  </r>
  <r>
    <x v="9"/>
    <x v="2"/>
    <x v="3"/>
    <x v="6"/>
  </r>
  <r>
    <x v="10"/>
    <x v="0"/>
    <x v="0"/>
    <x v="7"/>
  </r>
  <r>
    <x v="11"/>
    <x v="1"/>
    <x v="1"/>
    <x v="8"/>
  </r>
  <r>
    <x v="12"/>
    <x v="2"/>
    <x v="2"/>
    <x v="9"/>
  </r>
  <r>
    <x v="13"/>
    <x v="0"/>
    <x v="3"/>
    <x v="10"/>
  </r>
  <r>
    <x v="14"/>
    <x v="1"/>
    <x v="0"/>
    <x v="11"/>
  </r>
  <r>
    <x v="15"/>
    <x v="2"/>
    <x v="2"/>
    <x v="2"/>
  </r>
  <r>
    <x v="16"/>
    <x v="0"/>
    <x v="1"/>
    <x v="12"/>
  </r>
  <r>
    <x v="17"/>
    <x v="1"/>
    <x v="3"/>
    <x v="13"/>
  </r>
  <r>
    <x v="18"/>
    <x v="2"/>
    <x v="2"/>
    <x v="14"/>
  </r>
  <r>
    <x v="19"/>
    <x v="0"/>
    <x v="0"/>
    <x v="15"/>
  </r>
  <r>
    <x v="20"/>
    <x v="1"/>
    <x v="1"/>
    <x v="16"/>
  </r>
  <r>
    <x v="21"/>
    <x v="2"/>
    <x v="3"/>
    <x v="17"/>
  </r>
  <r>
    <x v="22"/>
    <x v="0"/>
    <x v="0"/>
    <x v="2"/>
  </r>
  <r>
    <x v="23"/>
    <x v="1"/>
    <x v="2"/>
    <x v="18"/>
  </r>
  <r>
    <x v="24"/>
    <x v="2"/>
    <x v="1"/>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EDAE31-E224-4DC9-A130-5E42DF1D48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B14" firstHeaderRow="1" firstDataRow="1" firstDataCol="1"/>
  <pivotFields count="4">
    <pivotField numFmtId="14" showAll="0"/>
    <pivotField showAll="0"/>
    <pivotField axis="axisRow" showAll="0">
      <items count="5">
        <item x="2"/>
        <item x="0"/>
        <item x="1"/>
        <item x="3"/>
        <item t="default"/>
      </items>
    </pivotField>
    <pivotField dataField="1" showAll="0"/>
  </pivotFields>
  <rowFields count="1">
    <field x="2"/>
  </rowFields>
  <rowItems count="5">
    <i>
      <x/>
    </i>
    <i>
      <x v="1"/>
    </i>
    <i>
      <x v="2"/>
    </i>
    <i>
      <x v="3"/>
    </i>
    <i t="grand">
      <x/>
    </i>
  </rowItems>
  <colItems count="1">
    <i/>
  </colItems>
  <dataFields count="1">
    <dataField name="Sum of Sales" fld="3" baseField="2"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FC7F2A-1543-42F3-A282-D54C705657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4">
    <pivotField numFmtId="14" showAll="0"/>
    <pivotField axis="axisRow" showAll="0">
      <items count="4">
        <item x="0"/>
        <item x="1"/>
        <item x="2"/>
        <item t="default"/>
      </items>
    </pivotField>
    <pivotField showAll="0">
      <items count="5">
        <item x="2"/>
        <item x="0"/>
        <item x="1"/>
        <item x="3"/>
        <item t="default"/>
      </items>
    </pivotField>
    <pivotField dataField="1" showAll="0"/>
  </pivotFields>
  <rowFields count="1">
    <field x="1"/>
  </rowFields>
  <rowItems count="4">
    <i>
      <x/>
    </i>
    <i>
      <x v="1"/>
    </i>
    <i>
      <x v="2"/>
    </i>
    <i t="grand">
      <x/>
    </i>
  </rowItems>
  <colItems count="1">
    <i/>
  </colItems>
  <dataFields count="1">
    <dataField name="Count of Sales" fld="3" subtotal="count" baseField="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AC6A17-6219-45FD-885F-AFD34BC96B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H27" firstHeaderRow="1" firstDataRow="1" firstDataCol="1"/>
  <pivotFields count="4">
    <pivotField axis="axisRow"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dataField="1" showAll="0">
      <items count="21">
        <item x="2"/>
        <item x="3"/>
        <item x="9"/>
        <item x="14"/>
        <item x="19"/>
        <item x="6"/>
        <item x="17"/>
        <item x="1"/>
        <item x="16"/>
        <item x="13"/>
        <item x="18"/>
        <item x="5"/>
        <item x="11"/>
        <item x="7"/>
        <item x="0"/>
        <item x="15"/>
        <item x="12"/>
        <item x="4"/>
        <item x="10"/>
        <item x="8"/>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Sales" fld="3" baseField="0" baseItem="3"/>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290D781-8E8D-4948-8F58-CF3BBEB26C36}" sourceName="Product">
  <pivotTables>
    <pivotTable tabId="5" name="PivotTable1"/>
  </pivotTables>
  <data>
    <tabular pivotCacheId="214324316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25025D-DF27-4829-A175-C4E687780756}" sourceName="Region">
  <pivotTables>
    <pivotTable tabId="5" name="PivotTable1"/>
  </pivotTables>
  <data>
    <tabular pivotCacheId="214324316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140D924-067D-4951-B0B4-57DA3489EDF2}" cache="Slicer_Product" caption="Product" rowHeight="234950"/>
  <slicer name="Region" xr10:uid="{51640A76-953F-4100-9B55-06379D35CBF1}"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E63A30-2C13-4DC2-A32E-E95B83008C32}" name="Table2" displayName="Table2" ref="G4:J29" totalsRowShown="0">
  <autoFilter ref="G4:J29" xr:uid="{56E63A30-2C13-4DC2-A32E-E95B83008C32}"/>
  <tableColumns count="4">
    <tableColumn id="1" xr3:uid="{118C2F86-E2AD-4FC2-B88E-C6AA8D19B979}" name="Date" dataDxfId="0"/>
    <tableColumn id="2" xr3:uid="{3FAA4773-9E08-445B-B02C-7107D944513E}" name="Product"/>
    <tableColumn id="3" xr3:uid="{A49FB63F-453B-43CE-AEAE-36C77264723A}" name="Region"/>
    <tableColumn id="4" xr3:uid="{A9E21274-426A-4D4A-8CE4-7ABAF7D8648B}"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55A11-DDBA-43FD-B7AF-8BA487DFFDD2}">
  <dimension ref="A1:AA21"/>
  <sheetViews>
    <sheetView showGridLines="0" workbookViewId="0">
      <selection activeCell="F9" sqref="F9"/>
    </sheetView>
  </sheetViews>
  <sheetFormatPr defaultRowHeight="14.4" x14ac:dyDescent="0.3"/>
  <cols>
    <col min="1" max="1" width="14.88671875" bestFit="1" customWidth="1"/>
    <col min="2" max="2" width="18.33203125" bestFit="1" customWidth="1"/>
    <col min="3" max="3" width="13.21875" bestFit="1" customWidth="1"/>
  </cols>
  <sheetData>
    <row r="1" spans="1:27" x14ac:dyDescent="0.3">
      <c r="A1" s="5" t="s">
        <v>21</v>
      </c>
      <c r="B1" s="5"/>
      <c r="C1" s="5"/>
      <c r="D1" s="5"/>
      <c r="E1" s="5"/>
      <c r="F1" s="5"/>
      <c r="G1" s="5"/>
      <c r="H1" s="5"/>
      <c r="I1" s="5"/>
      <c r="J1" s="5"/>
      <c r="K1" s="5"/>
      <c r="L1" s="5"/>
      <c r="M1" s="5"/>
      <c r="N1" s="5"/>
      <c r="O1" s="5"/>
      <c r="P1" s="5"/>
      <c r="Q1" s="5"/>
      <c r="R1" s="5"/>
      <c r="S1" s="5"/>
      <c r="T1" s="5"/>
      <c r="U1" s="5"/>
    </row>
    <row r="2" spans="1:27" x14ac:dyDescent="0.3">
      <c r="A2" s="5"/>
      <c r="B2" s="5"/>
      <c r="C2" s="5"/>
      <c r="D2" s="5"/>
      <c r="E2" s="5"/>
      <c r="F2" s="5"/>
      <c r="G2" s="5"/>
      <c r="H2" s="5"/>
      <c r="I2" s="5"/>
      <c r="J2" s="5"/>
      <c r="K2" s="5"/>
      <c r="L2" s="5"/>
      <c r="M2" s="5"/>
      <c r="N2" s="5"/>
      <c r="O2" s="5"/>
      <c r="P2" s="5"/>
      <c r="Q2" s="5"/>
      <c r="R2" s="5"/>
      <c r="S2" s="5"/>
      <c r="T2" s="5"/>
      <c r="U2" s="5"/>
      <c r="AA2">
        <v>50000</v>
      </c>
    </row>
    <row r="3" spans="1:27" ht="15" thickBot="1" x14ac:dyDescent="0.35">
      <c r="A3" s="5"/>
      <c r="B3" s="5"/>
      <c r="C3" s="5"/>
      <c r="D3" s="5"/>
      <c r="E3" s="5"/>
      <c r="F3" s="5"/>
      <c r="G3" s="5"/>
      <c r="H3" s="5"/>
      <c r="I3" s="5"/>
      <c r="J3" s="5"/>
      <c r="K3" s="5"/>
      <c r="L3" s="5"/>
      <c r="M3" s="5"/>
      <c r="N3" s="5"/>
      <c r="O3" s="5"/>
      <c r="P3" s="5"/>
      <c r="Q3" s="5"/>
      <c r="R3" s="5"/>
      <c r="S3" s="5"/>
      <c r="T3" s="5"/>
      <c r="U3" s="5"/>
      <c r="AA3">
        <v>30000</v>
      </c>
    </row>
    <row r="4" spans="1:27" ht="15.6" thickTop="1" thickBot="1" x14ac:dyDescent="0.35">
      <c r="D4" s="7"/>
      <c r="E4" s="7"/>
      <c r="AA4">
        <v>20000</v>
      </c>
    </row>
    <row r="5" spans="1:27" ht="18" x14ac:dyDescent="0.35">
      <c r="A5" s="8" t="s">
        <v>18</v>
      </c>
      <c r="B5" s="9" t="s">
        <v>19</v>
      </c>
      <c r="C5" s="10" t="s">
        <v>20</v>
      </c>
      <c r="AA5">
        <v>30000</v>
      </c>
    </row>
    <row r="6" spans="1:27" ht="18.600000000000001" thickBot="1" x14ac:dyDescent="0.4">
      <c r="A6" s="11">
        <f>SUM(AA2:AA22)</f>
        <v>730000</v>
      </c>
      <c r="B6" s="12">
        <f>AVERAGE(AA2:AA21)</f>
        <v>36500</v>
      </c>
      <c r="C6" s="13">
        <f>MAX(AA2:AA21)</f>
        <v>56000</v>
      </c>
      <c r="AA6">
        <v>55000</v>
      </c>
    </row>
    <row r="7" spans="1:27" x14ac:dyDescent="0.3">
      <c r="AA7">
        <v>35000</v>
      </c>
    </row>
    <row r="8" spans="1:27" x14ac:dyDescent="0.3">
      <c r="AA8">
        <v>50000</v>
      </c>
    </row>
    <row r="9" spans="1:27" x14ac:dyDescent="0.3">
      <c r="AA9">
        <v>25000</v>
      </c>
    </row>
    <row r="10" spans="1:27" x14ac:dyDescent="0.3">
      <c r="AA10">
        <v>48000</v>
      </c>
    </row>
    <row r="11" spans="1:27" x14ac:dyDescent="0.3">
      <c r="AA11">
        <v>21000</v>
      </c>
    </row>
    <row r="12" spans="1:27" x14ac:dyDescent="0.3">
      <c r="AA12">
        <v>56000</v>
      </c>
    </row>
    <row r="13" spans="1:27" x14ac:dyDescent="0.3">
      <c r="AA13">
        <v>37000</v>
      </c>
    </row>
    <row r="14" spans="1:27" x14ac:dyDescent="0.3">
      <c r="AA14">
        <v>52000</v>
      </c>
    </row>
    <row r="15" spans="1:27" x14ac:dyDescent="0.3">
      <c r="AA15">
        <v>33000</v>
      </c>
    </row>
    <row r="16" spans="1:27" x14ac:dyDescent="0.3">
      <c r="AA16">
        <v>22000</v>
      </c>
    </row>
    <row r="17" spans="27:27" x14ac:dyDescent="0.3">
      <c r="AA17">
        <v>51000</v>
      </c>
    </row>
    <row r="18" spans="27:27" x14ac:dyDescent="0.3">
      <c r="AA18">
        <v>31000</v>
      </c>
    </row>
    <row r="19" spans="27:27" x14ac:dyDescent="0.3">
      <c r="AA19">
        <v>26000</v>
      </c>
    </row>
    <row r="20" spans="27:27" x14ac:dyDescent="0.3">
      <c r="AA20">
        <v>24000</v>
      </c>
    </row>
    <row r="21" spans="27:27" x14ac:dyDescent="0.3">
      <c r="AA21">
        <v>34000</v>
      </c>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69633-C232-4845-864F-2552E490D9E2}">
  <dimension ref="F1:I26"/>
  <sheetViews>
    <sheetView topLeftCell="B1" zoomScale="92" workbookViewId="0">
      <selection activeCell="M10" sqref="M10"/>
    </sheetView>
  </sheetViews>
  <sheetFormatPr defaultRowHeight="14.4" x14ac:dyDescent="0.3"/>
  <cols>
    <col min="6" max="6" width="11" bestFit="1" customWidth="1"/>
    <col min="9" max="9" width="10.77734375" customWidth="1"/>
  </cols>
  <sheetData>
    <row r="1" spans="6:9" x14ac:dyDescent="0.3">
      <c r="F1" t="s">
        <v>0</v>
      </c>
      <c r="G1" t="s">
        <v>1</v>
      </c>
      <c r="H1" t="s">
        <v>2</v>
      </c>
      <c r="I1" t="s">
        <v>3</v>
      </c>
    </row>
    <row r="2" spans="6:9" x14ac:dyDescent="0.3">
      <c r="F2" s="1">
        <v>46113</v>
      </c>
      <c r="G2" t="s">
        <v>4</v>
      </c>
      <c r="H2" t="s">
        <v>5</v>
      </c>
      <c r="I2">
        <v>50000</v>
      </c>
    </row>
    <row r="3" spans="6:9" x14ac:dyDescent="0.3">
      <c r="F3" s="1">
        <v>46114</v>
      </c>
      <c r="G3" t="s">
        <v>6</v>
      </c>
      <c r="H3" t="s">
        <v>7</v>
      </c>
      <c r="I3">
        <v>30000</v>
      </c>
    </row>
    <row r="4" spans="6:9" x14ac:dyDescent="0.3">
      <c r="F4" s="1">
        <v>46115</v>
      </c>
      <c r="G4" t="s">
        <v>4</v>
      </c>
      <c r="H4" t="s">
        <v>5</v>
      </c>
    </row>
    <row r="5" spans="6:9" x14ac:dyDescent="0.3">
      <c r="F5" s="1">
        <v>46116</v>
      </c>
      <c r="G5" t="s">
        <v>8</v>
      </c>
      <c r="H5" t="s">
        <v>9</v>
      </c>
      <c r="I5">
        <v>20000</v>
      </c>
    </row>
    <row r="6" spans="6:9" x14ac:dyDescent="0.3">
      <c r="F6" s="1">
        <v>46117</v>
      </c>
      <c r="G6" t="s">
        <v>6</v>
      </c>
      <c r="H6" t="s">
        <v>7</v>
      </c>
      <c r="I6">
        <v>30000</v>
      </c>
    </row>
    <row r="7" spans="6:9" x14ac:dyDescent="0.3">
      <c r="F7" s="1">
        <v>46118</v>
      </c>
      <c r="G7" t="s">
        <v>4</v>
      </c>
      <c r="H7" t="s">
        <v>10</v>
      </c>
      <c r="I7">
        <v>55000</v>
      </c>
    </row>
    <row r="8" spans="6:9" x14ac:dyDescent="0.3">
      <c r="F8" s="1">
        <v>46119</v>
      </c>
      <c r="G8" t="s">
        <v>8</v>
      </c>
      <c r="H8" t="s">
        <v>9</v>
      </c>
      <c r="I8" t="s">
        <v>11</v>
      </c>
    </row>
    <row r="9" spans="6:9" x14ac:dyDescent="0.3">
      <c r="F9" s="1">
        <v>46120</v>
      </c>
      <c r="G9" t="s">
        <v>6</v>
      </c>
      <c r="H9" t="s">
        <v>5</v>
      </c>
      <c r="I9">
        <v>35000</v>
      </c>
    </row>
    <row r="10" spans="6:9" x14ac:dyDescent="0.3">
      <c r="F10" s="1">
        <v>46121</v>
      </c>
      <c r="G10" t="s">
        <v>4</v>
      </c>
      <c r="H10" t="s">
        <v>7</v>
      </c>
      <c r="I10">
        <v>50000</v>
      </c>
    </row>
    <row r="11" spans="6:9" x14ac:dyDescent="0.3">
      <c r="F11" s="1">
        <v>46122</v>
      </c>
      <c r="G11" t="s">
        <v>8</v>
      </c>
      <c r="H11" t="s">
        <v>10</v>
      </c>
      <c r="I11">
        <v>25000</v>
      </c>
    </row>
    <row r="12" spans="6:9" x14ac:dyDescent="0.3">
      <c r="F12" s="1">
        <v>46123</v>
      </c>
      <c r="G12" t="s">
        <v>4</v>
      </c>
      <c r="H12" t="s">
        <v>5</v>
      </c>
      <c r="I12">
        <v>48000</v>
      </c>
    </row>
    <row r="13" spans="6:9" x14ac:dyDescent="0.3">
      <c r="F13" s="1">
        <v>46124</v>
      </c>
      <c r="G13" t="s">
        <v>6</v>
      </c>
      <c r="H13" t="s">
        <v>7</v>
      </c>
      <c r="I13" t="s">
        <v>12</v>
      </c>
    </row>
    <row r="14" spans="6:9" x14ac:dyDescent="0.3">
      <c r="F14" s="1">
        <v>46125</v>
      </c>
      <c r="G14" t="s">
        <v>8</v>
      </c>
      <c r="H14" t="s">
        <v>9</v>
      </c>
      <c r="I14">
        <v>21000</v>
      </c>
    </row>
    <row r="15" spans="6:9" x14ac:dyDescent="0.3">
      <c r="F15" s="1">
        <v>46126</v>
      </c>
      <c r="G15" t="s">
        <v>4</v>
      </c>
      <c r="H15" t="s">
        <v>10</v>
      </c>
      <c r="I15">
        <v>56000</v>
      </c>
    </row>
    <row r="16" spans="6:9" x14ac:dyDescent="0.3">
      <c r="F16" s="1">
        <v>46127</v>
      </c>
      <c r="G16" t="s">
        <v>6</v>
      </c>
      <c r="H16" t="s">
        <v>5</v>
      </c>
      <c r="I16">
        <v>37000</v>
      </c>
    </row>
    <row r="17" spans="6:9" x14ac:dyDescent="0.3">
      <c r="F17" s="1">
        <v>46128</v>
      </c>
      <c r="G17" t="s">
        <v>8</v>
      </c>
      <c r="H17" t="s">
        <v>9</v>
      </c>
    </row>
    <row r="18" spans="6:9" x14ac:dyDescent="0.3">
      <c r="F18" s="1">
        <v>46129</v>
      </c>
      <c r="G18" t="s">
        <v>4</v>
      </c>
      <c r="H18" t="s">
        <v>7</v>
      </c>
      <c r="I18">
        <v>52000</v>
      </c>
    </row>
    <row r="19" spans="6:9" x14ac:dyDescent="0.3">
      <c r="F19" s="1">
        <v>46130</v>
      </c>
      <c r="G19" t="s">
        <v>6</v>
      </c>
      <c r="H19" t="s">
        <v>10</v>
      </c>
      <c r="I19">
        <v>33000</v>
      </c>
    </row>
    <row r="20" spans="6:9" x14ac:dyDescent="0.3">
      <c r="F20" s="1">
        <v>46131</v>
      </c>
      <c r="G20" t="s">
        <v>8</v>
      </c>
      <c r="H20" t="s">
        <v>9</v>
      </c>
      <c r="I20">
        <v>22000</v>
      </c>
    </row>
    <row r="21" spans="6:9" x14ac:dyDescent="0.3">
      <c r="F21" s="1">
        <v>46132</v>
      </c>
      <c r="G21" t="s">
        <v>4</v>
      </c>
      <c r="H21" t="s">
        <v>5</v>
      </c>
      <c r="I21">
        <v>51000</v>
      </c>
    </row>
    <row r="22" spans="6:9" x14ac:dyDescent="0.3">
      <c r="F22" s="1">
        <v>46133</v>
      </c>
      <c r="G22" t="s">
        <v>6</v>
      </c>
      <c r="H22" t="s">
        <v>7</v>
      </c>
      <c r="I22">
        <v>31000</v>
      </c>
    </row>
    <row r="23" spans="6:9" x14ac:dyDescent="0.3">
      <c r="F23" s="1">
        <v>46134</v>
      </c>
      <c r="G23" t="s">
        <v>8</v>
      </c>
      <c r="H23" t="s">
        <v>10</v>
      </c>
      <c r="I23">
        <v>26000</v>
      </c>
    </row>
    <row r="24" spans="6:9" x14ac:dyDescent="0.3">
      <c r="F24" s="1">
        <v>46135</v>
      </c>
      <c r="G24" t="s">
        <v>4</v>
      </c>
      <c r="H24" t="s">
        <v>5</v>
      </c>
      <c r="I24" t="s">
        <v>13</v>
      </c>
    </row>
    <row r="25" spans="6:9" x14ac:dyDescent="0.3">
      <c r="F25" s="1">
        <v>46136</v>
      </c>
      <c r="G25" t="s">
        <v>6</v>
      </c>
      <c r="H25" t="s">
        <v>9</v>
      </c>
      <c r="I25">
        <v>34000</v>
      </c>
    </row>
    <row r="26" spans="6:9" x14ac:dyDescent="0.3">
      <c r="F26" s="1">
        <v>46137</v>
      </c>
      <c r="G26" t="s">
        <v>8</v>
      </c>
      <c r="H26" t="s">
        <v>7</v>
      </c>
      <c r="I26">
        <v>24000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9350-C5F9-46E3-80BB-BB2840523F5E}">
  <dimension ref="G4:J29"/>
  <sheetViews>
    <sheetView tabSelected="1" topLeftCell="F8" zoomScale="102" zoomScaleNormal="102" workbookViewId="0">
      <selection activeCell="L20" sqref="L20"/>
    </sheetView>
  </sheetViews>
  <sheetFormatPr defaultRowHeight="14.4" x14ac:dyDescent="0.3"/>
  <cols>
    <col min="7" max="7" width="11" bestFit="1" customWidth="1"/>
    <col min="8" max="8" width="9.5546875" customWidth="1"/>
  </cols>
  <sheetData>
    <row r="4" spans="7:10" x14ac:dyDescent="0.3">
      <c r="G4" t="s">
        <v>0</v>
      </c>
      <c r="H4" t="s">
        <v>1</v>
      </c>
      <c r="I4" t="s">
        <v>2</v>
      </c>
      <c r="J4" t="s">
        <v>3</v>
      </c>
    </row>
    <row r="5" spans="7:10" x14ac:dyDescent="0.3">
      <c r="G5" s="1">
        <v>46113</v>
      </c>
      <c r="H5" t="s">
        <v>4</v>
      </c>
      <c r="I5" t="s">
        <v>5</v>
      </c>
      <c r="J5">
        <v>50000</v>
      </c>
    </row>
    <row r="6" spans="7:10" x14ac:dyDescent="0.3">
      <c r="G6" s="1">
        <v>46114</v>
      </c>
      <c r="H6" t="s">
        <v>6</v>
      </c>
      <c r="I6" t="s">
        <v>7</v>
      </c>
      <c r="J6">
        <v>30000</v>
      </c>
    </row>
    <row r="7" spans="7:10" x14ac:dyDescent="0.3">
      <c r="G7" s="1">
        <v>46115</v>
      </c>
      <c r="H7" t="s">
        <v>4</v>
      </c>
      <c r="I7" t="s">
        <v>5</v>
      </c>
      <c r="J7">
        <v>0</v>
      </c>
    </row>
    <row r="8" spans="7:10" x14ac:dyDescent="0.3">
      <c r="G8" s="1">
        <v>46116</v>
      </c>
      <c r="H8" t="s">
        <v>8</v>
      </c>
      <c r="I8" t="s">
        <v>9</v>
      </c>
      <c r="J8">
        <v>20000</v>
      </c>
    </row>
    <row r="9" spans="7:10" x14ac:dyDescent="0.3">
      <c r="G9" s="1">
        <v>46117</v>
      </c>
      <c r="H9" t="s">
        <v>6</v>
      </c>
      <c r="I9" t="s">
        <v>7</v>
      </c>
      <c r="J9">
        <v>30000</v>
      </c>
    </row>
    <row r="10" spans="7:10" x14ac:dyDescent="0.3">
      <c r="G10" s="1">
        <v>46118</v>
      </c>
      <c r="H10" t="s">
        <v>4</v>
      </c>
      <c r="I10" t="s">
        <v>10</v>
      </c>
      <c r="J10">
        <v>55000</v>
      </c>
    </row>
    <row r="11" spans="7:10" x14ac:dyDescent="0.3">
      <c r="G11" s="1">
        <v>46119</v>
      </c>
      <c r="H11" t="s">
        <v>8</v>
      </c>
      <c r="I11" t="s">
        <v>9</v>
      </c>
      <c r="J11">
        <v>0</v>
      </c>
    </row>
    <row r="12" spans="7:10" x14ac:dyDescent="0.3">
      <c r="G12" s="1">
        <v>46120</v>
      </c>
      <c r="H12" t="s">
        <v>6</v>
      </c>
      <c r="I12" t="s">
        <v>5</v>
      </c>
      <c r="J12">
        <v>35000</v>
      </c>
    </row>
    <row r="13" spans="7:10" x14ac:dyDescent="0.3">
      <c r="G13" s="1">
        <v>46121</v>
      </c>
      <c r="H13" t="s">
        <v>4</v>
      </c>
      <c r="I13" t="s">
        <v>7</v>
      </c>
      <c r="J13">
        <v>50000</v>
      </c>
    </row>
    <row r="14" spans="7:10" x14ac:dyDescent="0.3">
      <c r="G14" s="1">
        <v>46122</v>
      </c>
      <c r="H14" t="s">
        <v>8</v>
      </c>
      <c r="I14" t="s">
        <v>10</v>
      </c>
      <c r="J14">
        <v>25000</v>
      </c>
    </row>
    <row r="15" spans="7:10" x14ac:dyDescent="0.3">
      <c r="G15" s="1">
        <v>46123</v>
      </c>
      <c r="H15" t="s">
        <v>4</v>
      </c>
      <c r="I15" t="s">
        <v>5</v>
      </c>
      <c r="J15">
        <v>48000</v>
      </c>
    </row>
    <row r="16" spans="7:10" x14ac:dyDescent="0.3">
      <c r="G16" s="1">
        <v>46124</v>
      </c>
      <c r="H16" t="s">
        <v>6</v>
      </c>
      <c r="I16" t="s">
        <v>7</v>
      </c>
      <c r="J16">
        <v>0</v>
      </c>
    </row>
    <row r="17" spans="7:10" x14ac:dyDescent="0.3">
      <c r="G17" s="1">
        <v>46125</v>
      </c>
      <c r="H17" t="s">
        <v>8</v>
      </c>
      <c r="I17" t="s">
        <v>9</v>
      </c>
      <c r="J17">
        <v>21000</v>
      </c>
    </row>
    <row r="18" spans="7:10" x14ac:dyDescent="0.3">
      <c r="G18" s="1">
        <v>46126</v>
      </c>
      <c r="H18" t="s">
        <v>4</v>
      </c>
      <c r="I18" t="s">
        <v>10</v>
      </c>
      <c r="J18">
        <v>56000</v>
      </c>
    </row>
    <row r="19" spans="7:10" x14ac:dyDescent="0.3">
      <c r="G19" s="1">
        <v>46127</v>
      </c>
      <c r="H19" t="s">
        <v>6</v>
      </c>
      <c r="I19" t="s">
        <v>5</v>
      </c>
      <c r="J19">
        <v>37000</v>
      </c>
    </row>
    <row r="20" spans="7:10" x14ac:dyDescent="0.3">
      <c r="G20" s="1">
        <v>46128</v>
      </c>
      <c r="H20" t="s">
        <v>8</v>
      </c>
      <c r="I20" t="s">
        <v>9</v>
      </c>
      <c r="J20">
        <v>0</v>
      </c>
    </row>
    <row r="21" spans="7:10" x14ac:dyDescent="0.3">
      <c r="G21" s="1">
        <v>46129</v>
      </c>
      <c r="H21" t="s">
        <v>4</v>
      </c>
      <c r="I21" t="s">
        <v>7</v>
      </c>
      <c r="J21">
        <v>52000</v>
      </c>
    </row>
    <row r="22" spans="7:10" x14ac:dyDescent="0.3">
      <c r="G22" s="1">
        <v>46130</v>
      </c>
      <c r="H22" t="s">
        <v>6</v>
      </c>
      <c r="I22" t="s">
        <v>10</v>
      </c>
      <c r="J22">
        <v>33000</v>
      </c>
    </row>
    <row r="23" spans="7:10" x14ac:dyDescent="0.3">
      <c r="G23" s="1">
        <v>46131</v>
      </c>
      <c r="H23" t="s">
        <v>8</v>
      </c>
      <c r="I23" t="s">
        <v>9</v>
      </c>
      <c r="J23">
        <v>22000</v>
      </c>
    </row>
    <row r="24" spans="7:10" x14ac:dyDescent="0.3">
      <c r="G24" s="1">
        <v>46132</v>
      </c>
      <c r="H24" t="s">
        <v>4</v>
      </c>
      <c r="I24" t="s">
        <v>5</v>
      </c>
      <c r="J24">
        <v>51000</v>
      </c>
    </row>
    <row r="25" spans="7:10" x14ac:dyDescent="0.3">
      <c r="G25" s="1">
        <v>46133</v>
      </c>
      <c r="H25" t="s">
        <v>6</v>
      </c>
      <c r="I25" t="s">
        <v>7</v>
      </c>
      <c r="J25">
        <v>31000</v>
      </c>
    </row>
    <row r="26" spans="7:10" x14ac:dyDescent="0.3">
      <c r="G26" s="1">
        <v>46134</v>
      </c>
      <c r="H26" t="s">
        <v>8</v>
      </c>
      <c r="I26" t="s">
        <v>10</v>
      </c>
      <c r="J26">
        <v>26000</v>
      </c>
    </row>
    <row r="27" spans="7:10" x14ac:dyDescent="0.3">
      <c r="G27" s="1">
        <v>46135</v>
      </c>
      <c r="H27" t="s">
        <v>4</v>
      </c>
      <c r="I27" t="s">
        <v>5</v>
      </c>
      <c r="J27">
        <v>0</v>
      </c>
    </row>
    <row r="28" spans="7:10" x14ac:dyDescent="0.3">
      <c r="G28" s="1">
        <v>46136</v>
      </c>
      <c r="H28" t="s">
        <v>6</v>
      </c>
      <c r="I28" t="s">
        <v>9</v>
      </c>
      <c r="J28">
        <v>34000</v>
      </c>
    </row>
    <row r="29" spans="7:10" x14ac:dyDescent="0.3">
      <c r="G29" s="1">
        <v>46137</v>
      </c>
      <c r="H29" t="s">
        <v>8</v>
      </c>
      <c r="I29" t="s">
        <v>7</v>
      </c>
      <c r="J29">
        <v>24000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9A4C1-D8F6-43E9-939A-5715A43B097D}">
  <dimension ref="A1:H27"/>
  <sheetViews>
    <sheetView workbookViewId="0">
      <selection activeCell="F28" sqref="F28"/>
    </sheetView>
  </sheetViews>
  <sheetFormatPr defaultRowHeight="14.4" x14ac:dyDescent="0.3"/>
  <cols>
    <col min="1" max="1" width="12.5546875" bestFit="1" customWidth="1"/>
    <col min="2" max="2" width="13.109375" bestFit="1" customWidth="1"/>
    <col min="7" max="7" width="12.5546875" bestFit="1" customWidth="1"/>
    <col min="8" max="8" width="11.6640625" bestFit="1" customWidth="1"/>
  </cols>
  <sheetData>
    <row r="1" spans="1:8" x14ac:dyDescent="0.3">
      <c r="G1" s="2" t="s">
        <v>14</v>
      </c>
      <c r="H1" t="s">
        <v>17</v>
      </c>
    </row>
    <row r="2" spans="1:8" x14ac:dyDescent="0.3">
      <c r="G2" s="4">
        <v>46113</v>
      </c>
      <c r="H2">
        <v>50000</v>
      </c>
    </row>
    <row r="3" spans="1:8" x14ac:dyDescent="0.3">
      <c r="A3" s="2" t="s">
        <v>14</v>
      </c>
      <c r="B3" t="s">
        <v>16</v>
      </c>
      <c r="G3" s="4">
        <v>46114</v>
      </c>
      <c r="H3">
        <v>30000</v>
      </c>
    </row>
    <row r="4" spans="1:8" x14ac:dyDescent="0.3">
      <c r="A4" s="3" t="s">
        <v>4</v>
      </c>
      <c r="B4" s="6">
        <v>9</v>
      </c>
      <c r="G4" s="4">
        <v>46115</v>
      </c>
      <c r="H4">
        <v>0</v>
      </c>
    </row>
    <row r="5" spans="1:8" x14ac:dyDescent="0.3">
      <c r="A5" s="3" t="s">
        <v>6</v>
      </c>
      <c r="B5" s="6">
        <v>8</v>
      </c>
      <c r="G5" s="4">
        <v>46116</v>
      </c>
      <c r="H5">
        <v>20000</v>
      </c>
    </row>
    <row r="6" spans="1:8" x14ac:dyDescent="0.3">
      <c r="A6" s="3" t="s">
        <v>8</v>
      </c>
      <c r="B6" s="6">
        <v>8</v>
      </c>
      <c r="G6" s="4">
        <v>46117</v>
      </c>
      <c r="H6">
        <v>30000</v>
      </c>
    </row>
    <row r="7" spans="1:8" x14ac:dyDescent="0.3">
      <c r="A7" s="3" t="s">
        <v>15</v>
      </c>
      <c r="B7" s="6">
        <v>25</v>
      </c>
      <c r="G7" s="4">
        <v>46118</v>
      </c>
      <c r="H7">
        <v>55000</v>
      </c>
    </row>
    <row r="8" spans="1:8" x14ac:dyDescent="0.3">
      <c r="G8" s="4">
        <v>46119</v>
      </c>
      <c r="H8">
        <v>0</v>
      </c>
    </row>
    <row r="9" spans="1:8" x14ac:dyDescent="0.3">
      <c r="A9" s="2" t="s">
        <v>14</v>
      </c>
      <c r="B9" t="s">
        <v>17</v>
      </c>
      <c r="G9" s="4">
        <v>46120</v>
      </c>
      <c r="H9">
        <v>35000</v>
      </c>
    </row>
    <row r="10" spans="1:8" x14ac:dyDescent="0.3">
      <c r="A10" s="3" t="s">
        <v>9</v>
      </c>
      <c r="B10">
        <v>97000</v>
      </c>
      <c r="G10" s="4">
        <v>46121</v>
      </c>
      <c r="H10">
        <v>50000</v>
      </c>
    </row>
    <row r="11" spans="1:8" x14ac:dyDescent="0.3">
      <c r="A11" s="3" t="s">
        <v>5</v>
      </c>
      <c r="B11">
        <v>221000</v>
      </c>
      <c r="G11" s="4">
        <v>46122</v>
      </c>
      <c r="H11">
        <v>25000</v>
      </c>
    </row>
    <row r="12" spans="1:8" x14ac:dyDescent="0.3">
      <c r="A12" s="3" t="s">
        <v>7</v>
      </c>
      <c r="B12">
        <v>217000</v>
      </c>
      <c r="G12" s="4">
        <v>46123</v>
      </c>
      <c r="H12">
        <v>48000</v>
      </c>
    </row>
    <row r="13" spans="1:8" x14ac:dyDescent="0.3">
      <c r="A13" s="3" t="s">
        <v>10</v>
      </c>
      <c r="B13">
        <v>195000</v>
      </c>
      <c r="G13" s="4">
        <v>46124</v>
      </c>
      <c r="H13">
        <v>0</v>
      </c>
    </row>
    <row r="14" spans="1:8" x14ac:dyDescent="0.3">
      <c r="A14" s="3" t="s">
        <v>15</v>
      </c>
      <c r="B14">
        <v>730000</v>
      </c>
      <c r="G14" s="4">
        <v>46125</v>
      </c>
      <c r="H14">
        <v>21000</v>
      </c>
    </row>
    <row r="15" spans="1:8" x14ac:dyDescent="0.3">
      <c r="G15" s="4">
        <v>46126</v>
      </c>
      <c r="H15">
        <v>56000</v>
      </c>
    </row>
    <row r="16" spans="1:8" x14ac:dyDescent="0.3">
      <c r="G16" s="4">
        <v>46127</v>
      </c>
      <c r="H16">
        <v>37000</v>
      </c>
    </row>
    <row r="17" spans="7:8" x14ac:dyDescent="0.3">
      <c r="G17" s="4">
        <v>46128</v>
      </c>
      <c r="H17">
        <v>0</v>
      </c>
    </row>
    <row r="18" spans="7:8" x14ac:dyDescent="0.3">
      <c r="G18" s="4">
        <v>46129</v>
      </c>
      <c r="H18">
        <v>52000</v>
      </c>
    </row>
    <row r="19" spans="7:8" x14ac:dyDescent="0.3">
      <c r="G19" s="4">
        <v>46130</v>
      </c>
      <c r="H19">
        <v>33000</v>
      </c>
    </row>
    <row r="20" spans="7:8" x14ac:dyDescent="0.3">
      <c r="G20" s="4">
        <v>46131</v>
      </c>
      <c r="H20">
        <v>22000</v>
      </c>
    </row>
    <row r="21" spans="7:8" x14ac:dyDescent="0.3">
      <c r="G21" s="4">
        <v>46132</v>
      </c>
      <c r="H21">
        <v>51000</v>
      </c>
    </row>
    <row r="22" spans="7:8" x14ac:dyDescent="0.3">
      <c r="G22" s="4">
        <v>46133</v>
      </c>
      <c r="H22">
        <v>31000</v>
      </c>
    </row>
    <row r="23" spans="7:8" x14ac:dyDescent="0.3">
      <c r="G23" s="4">
        <v>46134</v>
      </c>
      <c r="H23">
        <v>26000</v>
      </c>
    </row>
    <row r="24" spans="7:8" x14ac:dyDescent="0.3">
      <c r="G24" s="4">
        <v>46135</v>
      </c>
      <c r="H24">
        <v>0</v>
      </c>
    </row>
    <row r="25" spans="7:8" x14ac:dyDescent="0.3">
      <c r="G25" s="4">
        <v>46136</v>
      </c>
      <c r="H25">
        <v>34000</v>
      </c>
    </row>
    <row r="26" spans="7:8" x14ac:dyDescent="0.3">
      <c r="G26" s="4">
        <v>46137</v>
      </c>
      <c r="H26">
        <v>24000</v>
      </c>
    </row>
    <row r="27" spans="7:8" x14ac:dyDescent="0.3">
      <c r="G27" s="4" t="s">
        <v>15</v>
      </c>
      <c r="H27">
        <v>730000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 Dta</vt:lpstr>
      <vt:lpstr>Formatted Data</vt:lpstr>
      <vt:lpstr>Backend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Sonam Kothiyal</dc:creator>
  <cp:lastModifiedBy>Sonam Kothiyal</cp:lastModifiedBy>
  <dcterms:created xsi:type="dcterms:W3CDTF">2026-04-01T11:18:52Z</dcterms:created>
  <dcterms:modified xsi:type="dcterms:W3CDTF">2026-04-01T15:06:17Z</dcterms:modified>
</cp:coreProperties>
</file>